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คำแนะนำ" sheetId="1" state="visible" r:id="rId3"/>
    <sheet name="01 นำเข้าไฟล์" sheetId="2" state="visible" r:id="rId4"/>
    <sheet name="02 แปลงเดือน" sheetId="3" state="visible" r:id="rId5"/>
    <sheet name="03 กลไกพยากรณ์" sheetId="4" state="visible" r:id="rId6"/>
    <sheet name="04 เทียบแผน &amp; Override" sheetId="5" state="visible" r:id="rId7"/>
    <sheet name="05 ส่งออก &amp; PR" sheetId="6" state="visible" r:id="rId8"/>
    <sheet name="06 การใช้งานทั่วไป" sheetId="7" state="visible" r:id="rId9"/>
    <sheet name="07 เกณฑ์ยอมรับระบบ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<sst xmlns="http://schemas.openxmlformats.org/spreadsheetml/2006/main" count="384" uniqueCount="286">
  <si>
    <t xml:space="preserve">JIAN CHA · Module 02+ Sales Forecast</t>
  </si>
  <si>
    <t xml:space="preserve">UAT TEST SCRIPT &amp; ACCEPTANCE CRITERIA</t>
  </si>
  <si>
    <t xml:space="preserve">เอกสาร</t>
  </si>
  <si>
    <t xml:space="preserve">JC-IBP-UAT-M02P-001 · เวอร์ชัน 1.0 · 30 กรกฎาคม 2026</t>
  </si>
  <si>
    <t xml:space="preserve">จัดทำโดย</t>
  </si>
  <si>
    <t xml:space="preserve">Arin Tanakasemsup — SCM / IBP / IT Director</t>
  </si>
  <si>
    <t xml:space="preserve">ผู้ทดสอบ</t>
  </si>
  <si>
    <t xml:space="preserve">กรอกชื่อผู้ทดสอบตรงนี้ →</t>
  </si>
  <si>
    <t xml:space="preserve">วันที่ทดสอบ</t>
  </si>
  <si>
    <t xml:space="preserve">กรอกวันที่ →</t>
  </si>
  <si>
    <t xml:space="preserve">เวอร์ชันที่ทดสอบ</t>
  </si>
  <si>
    <t xml:space="preserve">Module 02+ v1.0</t>
  </si>
  <si>
    <t xml:space="preserve">วิธีใช้เอกสารนี้</t>
  </si>
  <si>
    <t xml:space="preserve">1</t>
  </si>
  <si>
    <t xml:space="preserve">ทดสอบเรียงตามชีต 01 → 06 · แต่ละชีตคือกลุ่มฟังก์ชันหนึ่งกลุ่ม</t>
  </si>
  <si>
    <t xml:space="preserve">2</t>
  </si>
  <si>
    <t xml:space="preserve">แต่ละแถวคือหนึ่งกรณีทดสอบ อ่านคอลัมน์ 'ขั้นตอน' แล้วทำตาม เทียบกับ 'ผลที่คาดหวัง'</t>
  </si>
  <si>
    <t xml:space="preserve">3</t>
  </si>
  <si>
    <t xml:space="preserve">กรอก 'ผลจริง' และเลือก 'สถานะ' จากรายการ (Pass / Fail / Blocked / N/A)</t>
  </si>
  <si>
    <t xml:space="preserve">4</t>
  </si>
  <si>
    <t xml:space="preserve">ถ้า Fail ให้กรอกเลขที่ใบแจ้งปัญหาในคอลัมน์สุดท้าย และบันทึกภาพหน้าจอแนบ</t>
  </si>
  <si>
    <t xml:space="preserve">5</t>
  </si>
  <si>
    <t xml:space="preserve">ชีต 07 สรุปเกณฑ์การยอมรับระดับระบบ — ต้องผ่านทุกข้อจึงจะ go-live ได้</t>
  </si>
  <si>
    <t xml:space="preserve">ไฟล์ทดสอบที่ต้องเตรียม</t>
  </si>
  <si>
    <t xml:space="preserve">sample_foodstory_long.csv</t>
  </si>
  <si>
    <t xml:space="preserve">ไฟล์รูปแบบ long ที่จงใจให้ยุ่ง: มีแถวหัวรายงานคั่น ปี พ.ศ. ตัวคั่นหลักพัน เดือนโปรโมชัน และ SKU ใหม่ที่มีประวัติ 3 เดือน</t>
  </si>
  <si>
    <t xml:space="preserve">sample_foodstory_wide.csv</t>
  </si>
  <si>
    <t xml:space="preserve">ข้อมูลชุดเดียวกันในรูปแบบ wide — ใช้พิสูจน์ว่าผลลัพธ์ต้องเท่ากันทุกประการ</t>
  </si>
  <si>
    <t xml:space="preserve">FoodStory_Forecast_Template.csv</t>
  </si>
  <si>
    <t xml:space="preserve">เทมเพลตคอลัมน์มาตรฐาน</t>
  </si>
  <si>
    <t xml:space="preserve">export จริงจาก FoodStory</t>
  </si>
  <si>
    <t xml:space="preserve">อย่างน้อย 12 เดือนย้อนหลัง — ทดสอบด้วยข้อมูลจริงก่อน go-live เสมอ</t>
  </si>
  <si>
    <t xml:space="preserve">เกณฑ์ผ่านโดยรวม</t>
  </si>
  <si>
    <t xml:space="preserve">ต้องผ่านทุกกรณีที่ระดับความสำคัญ = สูง (Critical) และผ่านอย่างน้อย 90% ของกรณีที่เหลือ</t>
  </si>
  <si>
    <t xml:space="preserve">รหัส</t>
  </si>
  <si>
    <t xml:space="preserve">ระดับ</t>
  </si>
  <si>
    <t xml:space="preserve">สิ่งที่ทดสอบ</t>
  </si>
  <si>
    <t xml:space="preserve">ขั้นตอน</t>
  </si>
  <si>
    <t xml:space="preserve">ผลที่คาดหวัง (Acceptance criteria)</t>
  </si>
  <si>
    <t xml:space="preserve">ผลจริง</t>
  </si>
  <si>
    <t xml:space="preserve">สถานะ</t>
  </si>
  <si>
    <t xml:space="preserve">เลขที่ใบแจ้งปัญหา</t>
  </si>
  <si>
    <t xml:space="preserve">TC-01</t>
  </si>
  <si>
    <t xml:space="preserve">สูง</t>
  </si>
  <si>
    <t xml:space="preserve">อัปโหลดไฟล์ CSV รูปแบบ long</t>
  </si>
  <si>
    <t xml:space="preserve">เปิด Module 02+ → ลากไฟล์ sample_foodstory_long.csv มาวางในกรอบอัปโหลด</t>
  </si>
  <si>
    <t xml:space="preserve">แถบสถานะแสดงชื่อไฟล์ จำนวนแถว จำนวนคอลัมน์ และระบุว่า 'รูปแบบ long' · การ์ดจับคู่คอลัมน์ปรากฏขึ้น</t>
  </si>
  <si>
    <t xml:space="preserve">TC-02</t>
  </si>
  <si>
    <t xml:space="preserve">ข้ามแถวหัวรายงานได้ถูกต้อง</t>
  </si>
  <si>
    <t xml:space="preserve">ใช้ไฟล์เดิม ตรวจจำนวนแถวที่ระบบรายงาน</t>
  </si>
  <si>
    <t xml:space="preserve">จำนวนแถวต้องเท่ากับจำนวนรายการข้อมูลจริง ไม่ใช่รวมแถวหัวรายงานที่คั่นอยู่ด้านบน · หัวตารางที่จับได้ต้องเป็นชื่อคอลัมน์จริง ไม่ใช่ค่าข้อมูล</t>
  </si>
  <si>
    <t xml:space="preserve">TC-03</t>
  </si>
  <si>
    <t xml:space="preserve">การเดาคอลัมน์อัตโนมัติ</t>
  </si>
  <si>
    <t xml:space="preserve">ดูค่าที่ระบบเลือกไว้ในช่อง รหัส SKU / ชื่อเมนู / เดือน / ช่องทาง / จำนวน</t>
  </si>
  <si>
    <t xml:space="preserve">ทั้ง 5 ช่องต้องชี้ไปยังคอลัมน์ที่ถูกต้องโดยที่ผู้ทดสอบไม่ต้องแก้ · ถ้าเดาผิด ต้องแก้ได้จาก dropdown และประมวลผลใหม่ได้</t>
  </si>
  <si>
    <t xml:space="preserve">TC-04</t>
  </si>
  <si>
    <t xml:space="preserve">อัปโหลดไฟล์ XLSX</t>
  </si>
  <si>
    <t xml:space="preserve">บันทึกไฟล์ตัวอย่างเป็น .xlsx แล้วอัปโหลด</t>
  </si>
  <si>
    <t xml:space="preserve">อ่านได้เหมือนกับ .csv ทุกประการ ตัวเลขและชื่อเมนูภาษาไทยไม่เพี้ยน</t>
  </si>
  <si>
    <t xml:space="preserve">TC-05</t>
  </si>
  <si>
    <t xml:space="preserve">รูปแบบ wide ให้ผลเท่ากับ long</t>
  </si>
  <si>
    <t xml:space="preserve">อัปโหลด sample_foodstory_wide.csv แล้วประมวลผล จดค่าพยากรณ์รวม แล้วเทียบกับผลของ TC-01</t>
  </si>
  <si>
    <t xml:space="preserve">ค่าพยากรณ์รวมและค่าราย SKU ต้องเท่ากันทุกตัว · ระบบต้องตรวจพบว่าเป็นรูปแบบ wide เอง</t>
  </si>
  <si>
    <t xml:space="preserve">TC-06</t>
  </si>
  <si>
    <t xml:space="preserve">กลาง</t>
  </si>
  <si>
    <t xml:space="preserve">ไฟล์ที่ไม่มีคอลัมน์ช่องทาง</t>
  </si>
  <si>
    <t xml:space="preserve">ลบคอลัมน์ช่องทางออกจากไฟล์ตัวอย่าง แล้วอัปโหลด</t>
  </si>
  <si>
    <t xml:space="preserve">ระบบแจ้งว่าไม่พบคอลัมน์ช่องทางและรวมเป็นช่องทางเดียว · ประมวลผลได้ตามปกติ ไม่ error</t>
  </si>
  <si>
    <t xml:space="preserve">TC-07</t>
  </si>
  <si>
    <t xml:space="preserve">ไฟล์เสียหาย / ไม่ใช่ตาราง</t>
  </si>
  <si>
    <t xml:space="preserve">อัปโหลดไฟล์รูปภาพหรือ PDF</t>
  </si>
  <si>
    <t xml:space="preserve">แสดงข้อความผิดพลาดที่อ่านเข้าใจได้ พร้อมคำแนะนำให้บันทึกเป็น .csv · หน้าเว็บต้องไม่ค้างและใช้งานต่อได้</t>
  </si>
  <si>
    <t xml:space="preserve">TC-08</t>
  </si>
  <si>
    <t xml:space="preserve">ดาวน์โหลดเทมเพลต</t>
  </si>
  <si>
    <t xml:space="preserve">กดปุ่ม 'ดาวน์โหลดเทมเพลต'</t>
  </si>
  <si>
    <t xml:space="preserve">ได้ไฟล์ CSV ที่มีหัวคอลัมน์ครบ 6 คอลัมน์ พร้อมตัวอย่างข้อมูล 4 แถว · เปิดใน Excel แล้วภาษาไทยไม่เพี้ยน</t>
  </si>
  <si>
    <t xml:space="preserve">TC-09</t>
  </si>
  <si>
    <t xml:space="preserve">ต่ำ</t>
  </si>
  <si>
    <t xml:space="preserve">ข้อมูลตัวอย่าง DEMO</t>
  </si>
  <si>
    <t xml:space="preserve">กดปุ่ม 'โหลดข้อมูลตัวอย่าง (DEMO)'</t>
  </si>
  <si>
    <t xml:space="preserve">ได้ประวัติ 14 เดือน 18 SKU · มีคำเตือนสีแดงชัดเจนว่าเป็นข้อมูลสังเคราะห์ ห้ามใช้ตัดสินใจจริง</t>
  </si>
  <si>
    <t xml:space="preserve">TC-10</t>
  </si>
  <si>
    <t xml:space="preserve">ปี พ.ศ. เต็ม</t>
  </si>
  <si>
    <t xml:space="preserve">เตรียมไฟล์ที่คอลัมน์เดือนเป็น '15/06/2569' แล้วอัปโหลด</t>
  </si>
  <si>
    <t xml:space="preserve">แปลงเป็น มิ.ย. 2026 (ค.ศ.) · แกนเดือนเรียงถูกต้อง</t>
  </si>
  <si>
    <t xml:space="preserve">TC-11</t>
  </si>
  <si>
    <t xml:space="preserve">ชื่อเดือนไทยย่อ + ปี 2 หลัก</t>
  </si>
  <si>
    <t xml:space="preserve">ใช้ไฟล์ที่คอลัมน์เดือนเป็น 'มิ.ย. 69'</t>
  </si>
  <si>
    <t xml:space="preserve">แปลงเป็น มิ.ย. 2026 · ไม่ตีความเป็น ค.ศ. 2069</t>
  </si>
  <si>
    <t xml:space="preserve">TC-12</t>
  </si>
  <si>
    <t xml:space="preserve">ชื่อเดือนอังกฤษ</t>
  </si>
  <si>
    <t xml:space="preserve">ใช้ 'Jun-2026' และ 'June 26'</t>
  </si>
  <si>
    <t xml:space="preserve">แปลงเป็น มิ.ย. 2026 ทั้งสองแบบ</t>
  </si>
  <si>
    <t xml:space="preserve">TC-13</t>
  </si>
  <si>
    <t xml:space="preserve">รูปแบบ ISO และกระชับ</t>
  </si>
  <si>
    <t xml:space="preserve">ใช้ '2026-06', '2026-06-15', '202606', '6/2026'</t>
  </si>
  <si>
    <t xml:space="preserve">ทุกแบบแปลงเป็น มิ.ย. 2026</t>
  </si>
  <si>
    <t xml:space="preserve">TC-14</t>
  </si>
  <si>
    <t xml:space="preserve">คอลัมน์เดือนผิด — ต้องเตือน</t>
  </si>
  <si>
    <t xml:space="preserve">จับคู่คอลัมน์ 'เดือน' ไปที่คอลัมน์ชื่อเมนูโดยเจตนา</t>
  </si>
  <si>
    <t xml:space="preserve">ระบบแสดงคำเตือนสีแดงว่าคอลัมน์เดือนอาจไม่ถูกต้อง ก่อนที่ผู้ใช้จะกดประมวลผล</t>
  </si>
  <si>
    <t xml:space="preserve">TC-15</t>
  </si>
  <si>
    <t xml:space="preserve">ช่วงเดือนที่อ่านได้แสดงให้ตรวจ</t>
  </si>
  <si>
    <t xml:space="preserve">หลังกดประมวลผล อ่านข้อความสรุปใต้การ์ดจับคู่</t>
  </si>
  <si>
    <t xml:space="preserve">แสดงจำนวนคู่ SKU×ช่องทาง จำนวนเดือน ช่วงเดือนแรก→เดือนสุดท้าย และรายชื่อกลุ่มช่องทางที่จับได้</t>
  </si>
  <si>
    <t xml:space="preserve">TC-16</t>
  </si>
  <si>
    <t xml:space="preserve">เลือกวิธีอัตโนมัติ</t>
  </si>
  <si>
    <t xml:space="preserve">ตั้งวิธี = Auto แล้วประมวลผล ดูแถบ 'วิธีที่ระบบเลือก'</t>
  </si>
  <si>
    <t xml:space="preserve">SKU ต่างกันได้วิธีต่างกัน · จำนวนรวมของทุกวิธีเท่ากับจำนวนคู่ SKU×ช่องทาง</t>
  </si>
  <si>
    <t xml:space="preserve">TC-17</t>
  </si>
  <si>
    <t xml:space="preserve">บังคับวิธีเดียว</t>
  </si>
  <si>
    <t xml:space="preserve">เปลี่ยนวิธีเป็น 'Naive' แล้วดูตาราง</t>
  </si>
  <si>
    <t xml:space="preserve">ทุกแถวใช้ Naive · ค่าพยากรณ์เปลี่ยนทันทีโดยไม่ต้องอัปโหลดใหม่ · แถบวิธีระบุว่า '(บังคับ)'</t>
  </si>
  <si>
    <t xml:space="preserve">TC-18</t>
  </si>
  <si>
    <t xml:space="preserve">ค่า WMAPE และ Bias แสดงครบ</t>
  </si>
  <si>
    <t xml:space="preserve">ตรวจคอลัมน์ WMAPE และ Bias ในตาราง</t>
  </si>
  <si>
    <t xml:space="preserve">แสดงเป็นเปอร์เซ็นต์ทุกแถวที่มีประวัติพอ · แถวที่ประวัติสั้นแสดง — และติดธง 'ประวัติสั้น'</t>
  </si>
  <si>
    <t xml:space="preserve">TC-19</t>
  </si>
  <si>
    <t xml:space="preserve">ตรวจสูตรด้วยมือ</t>
  </si>
  <si>
    <t xml:space="preserve">เลือก 1 SKU ที่ใช้วิธี MA-3M · เปิดชีต History จากไฟล์ export · คำนวณค่าเฉลี่ย 3 เดือนล่าสุดด้วยมือ</t>
  </si>
  <si>
    <t xml:space="preserve">ค่าที่คำนวณเองเท่ากับคอลัมน์พยากรณ์ หลังคูณด้วยตัวปรับจำนวนวันในเดือนที่แสดงบน KPI</t>
  </si>
  <si>
    <t xml:space="preserve">TC-20</t>
  </si>
  <si>
    <t xml:space="preserve">ปรับ Holdout แล้วผลเปลี่ยน</t>
  </si>
  <si>
    <t xml:space="preserve">เปลี่ยน Holdout จาก 3 เป็น 1 แล้วเป็น 6</t>
  </si>
  <si>
    <t xml:space="preserve">ค่า WMAPE และวิธีที่เลือกเปลี่ยนตาม · ไม่มี error กับ SKU ที่ประวัติสั้น</t>
  </si>
  <si>
    <t xml:space="preserve">TC-21</t>
  </si>
  <si>
    <t xml:space="preserve">ปรับ SES alpha</t>
  </si>
  <si>
    <t xml:space="preserve">เปลี่ยน alpha จาก 0.3 เป็น 0.8</t>
  </si>
  <si>
    <t xml:space="preserve">ค่าพยากรณ์ของแถวที่ใช้ SES เปลี่ยน · แถวที่ใช้วิธีอื่นไม่เปลี่ยน</t>
  </si>
  <si>
    <t xml:space="preserve">TC-22</t>
  </si>
  <si>
    <t xml:space="preserve">ตัด outlier (winsorize)</t>
  </si>
  <si>
    <t xml:space="preserve">ปิดและเปิดตัวเลือก 'ตัด outlier' กับไฟล์ที่มีเดือนโปรโมชัน</t>
  </si>
  <si>
    <t xml:space="preserve">เมื่อเปิด: แถวที่มีเดือนโปรโมชันติดธง 'ตัด outlier n' และค่าพยากรณ์ต่ำลง · เมื่อปิด: ธงหายและค่าสูงขึ้น</t>
  </si>
  <si>
    <t xml:space="preserve">TC-23</t>
  </si>
  <si>
    <t xml:space="preserve">ปรับตามจำนวนวันในเดือน</t>
  </si>
  <si>
    <t xml:space="preserve">เปิด/ปิดตัวเลือก แล้วดูตัวคูณบน KPI</t>
  </si>
  <si>
    <t xml:space="preserve">เมื่อเปิด ตัวคูณสะท้อนอัตราส่วนจำนวนวัน (เช่น ส.ค. 31 วัน) · เมื่อปิด ตัวคูณเป็น 1.000</t>
  </si>
  <si>
    <t xml:space="preserve">TC-24</t>
  </si>
  <si>
    <t xml:space="preserve">SKU ใหม่ที่ประวัติสั้น</t>
  </si>
  <si>
    <t xml:space="preserve">ดูแถว NEW9 ในไฟล์ตัวอย่าง</t>
  </si>
  <si>
    <t xml:space="preserve">ติดธง 'ประวัติสั้น' · WMAPE แสดง — · ยังให้ค่าพยากรณ์เพื่อไม่ให้หายจากแผน แต่เตือนให้ผู้วางแผนกำหนดเอง</t>
  </si>
  <si>
    <t xml:space="preserve">TC-25</t>
  </si>
  <si>
    <t xml:space="preserve">SKU ที่หยุดขาย</t>
  </si>
  <si>
    <t xml:space="preserve">แก้ไฟล์ให้ SKU หนึ่งมียอด 0 สองเดือนล่าสุด แล้วประมวลผล</t>
  </si>
  <si>
    <t xml:space="preserve">พยากรณ์เป็น 0 · ติดธง 'ไม่มียอด 2 เดือน'</t>
  </si>
  <si>
    <t xml:space="preserve">TC-26</t>
  </si>
  <si>
    <t xml:space="preserve">พยากรณ์ล่วงหน้าหลายเดือน</t>
  </si>
  <si>
    <t xml:space="preserve">เปลี่ยนเดือนเป้าหมายเป็น +2 และ +3 เดือน</t>
  </si>
  <si>
    <t xml:space="preserve">ค่าพยากรณ์เปลี่ยน · วิธี Trend และ Seasonal-12 ต้องขยายผลไปตามระยะ ไม่ใช่ค่าเดิมซ้ำ</t>
  </si>
  <si>
    <t xml:space="preserve">TC-27</t>
  </si>
  <si>
    <t xml:space="preserve">ตัดเดือนล่าสุดที่ยังไม่ครบ</t>
  </si>
  <si>
    <t xml:space="preserve">เปิดตัวเลือก 'ตัดเดือนล่าสุดทิ้ง'</t>
  </si>
  <si>
    <t xml:space="preserve">จำนวนเดือนลดลง 1 · เดือนเป้าหมายเลื่อนตาม · ค่าพยากรณ์คำนวณใหม่</t>
  </si>
  <si>
    <t xml:space="preserve">TC-28</t>
  </si>
  <si>
    <t xml:space="preserve">จับคู่กับ Baseline/Consensus</t>
  </si>
  <si>
    <t xml:space="preserve">ดูมุมมอง 'รวมราย SKU' คอลัมน์ Baseline และ Consensus</t>
  </si>
  <si>
    <t xml:space="preserve">SKU ที่มีในแผน v6.30 แสดงตัวเลขครบ · KPI ระบุจำนวนที่จับคู่ได้ เช่น 18/18</t>
  </si>
  <si>
    <t xml:space="preserve">TC-29</t>
  </si>
  <si>
    <t xml:space="preserve">คำนวณ Gap ถูกต้อง</t>
  </si>
  <si>
    <t xml:space="preserve">เลือก 1 SKU คำนวณ (พยากรณ์ − Consensus) ÷ Consensus × 100 ด้วยมือ</t>
  </si>
  <si>
    <t xml:space="preserve">ตรงกับคอลัมน์ Gap% · เครื่องหมายบวก/ลบถูกต้อง</t>
  </si>
  <si>
    <t xml:space="preserve">TC-30</t>
  </si>
  <si>
    <t xml:space="preserve">ธงเตือน gap ตามเกณฑ์</t>
  </si>
  <si>
    <t xml:space="preserve">ตั้งเกณฑ์เป็น 5% แล้วเป็น 30%</t>
  </si>
  <si>
    <t xml:space="preserve">จำนวนแถวที่ติดธง gap เปลี่ยนตามเกณฑ์ · ตัวกรอง 'เฉพาะรายการที่ต้องตัดสินใจ' แสดงเฉพาะแถวที่มีธง</t>
  </si>
  <si>
    <t xml:space="preserve">TC-31</t>
  </si>
  <si>
    <t xml:space="preserve">แก้ตัวเลข Override</t>
  </si>
  <si>
    <t xml:space="preserve">กรอกชื่อในช่อง 'ผู้ทบทวน' แล้วพิมพ์ตัวเลขใหม่ในช่อง Override ของ 1 SKU</t>
  </si>
  <si>
    <t xml:space="preserve">ช่องเปลี่ยนสีเป็นสถานะที่ถูกแก้ · ยอดรวมท้ายตารางเปลี่ยนตาม · Gap% คำนวณใหม่จากค่าที่แก้</t>
  </si>
  <si>
    <t xml:space="preserve">TC-32</t>
  </si>
  <si>
    <t xml:space="preserve">บันทึกเหตุผล</t>
  </si>
  <si>
    <t xml:space="preserve">กรอกเหตุผลในช่องข้าง Override</t>
  </si>
  <si>
    <t xml:space="preserve">ข้อความถูกเก็บ · ปรากฏในไฟล์ export ทั้งชีต Forecast และชีต Overrides พร้อมชื่อผู้ทบทวน</t>
  </si>
  <si>
    <t xml:space="preserve">TC-33</t>
  </si>
  <si>
    <t xml:space="preserve">Override ระดับช่องทาง</t>
  </si>
  <si>
    <t xml:space="preserve">สลับมุมมองเป็น 'SKU × ช่องทาง' แล้วแก้ตัวเลขของช่องทางเดียว</t>
  </si>
  <si>
    <t xml:space="preserve">ผลรวมราย SKU สะท้อนการแก้ · เมื่อกลับไปมุมมองรวมราย SKU ตัวเลขตรงกัน</t>
  </si>
  <si>
    <t xml:space="preserve">TC-34</t>
  </si>
  <si>
    <t xml:space="preserve">คำเตือนเรื่องความไม่ถาวร</t>
  </si>
  <si>
    <t xml:space="preserve">อ่านข้อความใต้ตารางหลังตั้ง override</t>
  </si>
  <si>
    <t xml:space="preserve">มีข้อความชัดเจนว่า override เก็บชั่วคราวในหน้าเว็บ ต้อง export เพื่อบันทึกถาวร</t>
  </si>
  <si>
    <t xml:space="preserve">TC-35</t>
  </si>
  <si>
    <t xml:space="preserve">ล้าง override</t>
  </si>
  <si>
    <t xml:space="preserve">กดปุ่ม 'ล้าง override ทั้งหมด'</t>
  </si>
  <si>
    <t xml:space="preserve">มีกล่องยืนยันก่อน · เมื่อยืนยันแล้วตัวเลขกลับเป็นค่าพยากรณ์เดิมทุกแถว</t>
  </si>
  <si>
    <t xml:space="preserve">TC-36</t>
  </si>
  <si>
    <t xml:space="preserve">ค้นหาและกรอง</t>
  </si>
  <si>
    <t xml:space="preserve">พิมพ์รหัส SKU ในช่องค้นหา · เลือกช่องทางจาก dropdown</t>
  </si>
  <si>
    <t xml:space="preserve">ตารางกรองถูกต้อง · ตัวนับจำนวนแถวอัปเดต · override ที่ตั้งไว้ไม่หายเมื่อกรอง</t>
  </si>
  <si>
    <t xml:space="preserve">TC-37</t>
  </si>
  <si>
    <t xml:space="preserve">Export Excel 4 ชีต</t>
  </si>
  <si>
    <t xml:space="preserve">กดปุ่ม 'Export Excel (4 ชีต)'</t>
  </si>
  <si>
    <t xml:space="preserve">ได้ไฟล์ .xlsx ที่มีชีต Forecast, History, MethodScores, Overrides ครบ · ชื่อไฟล์มีเดือนเป้าหมาย</t>
  </si>
  <si>
    <t xml:space="preserve">TC-38</t>
  </si>
  <si>
    <t xml:space="preserve">ความครบถ้วนของชีต Forecast</t>
  </si>
  <si>
    <t xml:space="preserve">เปิดชีต Forecast เทียบกับหน้าจอ</t>
  </si>
  <si>
    <t xml:space="preserve">จำนวนแถวเท่ากับจำนวน SKU ทั้งหมด (ไม่ใช่แค่ 250 แถวที่แสดงบนจอ) · ทุกคอลัมน์มีค่าตรงกับหน้าจอ</t>
  </si>
  <si>
    <t xml:space="preserve">TC-39</t>
  </si>
  <si>
    <t xml:space="preserve">ชีต History ตรวจย้อนกลับได้</t>
  </si>
  <si>
    <t xml:space="preserve">เปิดชีต History เลือก 1 SKU รวมยอดเดือนล่าสุดของทุกช่องทาง</t>
  </si>
  <si>
    <t xml:space="preserve">เท่ากับคอลัมน์ 'ล่าสุด' บนหน้าจอ</t>
  </si>
  <si>
    <t xml:space="preserve">TC-40</t>
  </si>
  <si>
    <t xml:space="preserve">ชีต MethodScores</t>
  </si>
  <si>
    <t xml:space="preserve">เปิดชีต MethodScores</t>
  </si>
  <si>
    <t xml:space="preserve">มี WMAPE ของทั้ง 7 วิธีต่อแถว · คอลัมน์ 'เลือก' ตรงกับวิธีที่แสดงบนหน้าจอ และเป็นวิธีที่ WMAPE ต่ำสุดจริง</t>
  </si>
  <si>
    <t xml:space="preserve">TC-41</t>
  </si>
  <si>
    <t xml:space="preserve">ชีต Overrides เป็น audit trail</t>
  </si>
  <si>
    <t xml:space="preserve">ตั้ง override 2 รายการพร้อมเหตุผล แล้ว export</t>
  </si>
  <si>
    <t xml:space="preserve">ชีต Overrides มี 2 แถว ระบุ ค่าที่ระบบพยากรณ์ ค่าที่แก้ เหตุผล และผู้ทบทวน ครบทุกช่อง</t>
  </si>
  <si>
    <t xml:space="preserve">TC-42</t>
  </si>
  <si>
    <t xml:space="preserve">Export CSV</t>
  </si>
  <si>
    <t xml:space="preserve">กดปุ่ม CSV แล้วเปิดใน Excel</t>
  </si>
  <si>
    <t xml:space="preserve">ภาษาไทยไม่เพี้ยน (มี BOM) · คอลัมน์ครบตามมุมมองที่เลือก</t>
  </si>
  <si>
    <t xml:space="preserve">TC-43</t>
  </si>
  <si>
    <t xml:space="preserve">ป้อนเข้า Suggested PR</t>
  </si>
  <si>
    <t xml:space="preserve">กดปุ่ม 'ป้อนเข้า Suggested PR' แล้วเลื่อนไปดู Data Explorer</t>
  </si>
  <si>
    <t xml:space="preserve">ข้อความฐานดีมานด์เปลี่ยนเป็น Forecast พร้อม Demand Index · คอลัมน์ 'ใช้/วัน (ฐานที่ใช้)' และ 'DOH ที่ใช้' เปลี่ยนตาม · Suggested PR คำนวณใหม่</t>
  </si>
  <si>
    <t xml:space="preserve">TC-44</t>
  </si>
  <si>
    <t xml:space="preserve">ย้อนกลับฐาน PR ได้</t>
  </si>
  <si>
    <t xml:space="preserve">กดปุ่มเดิมอีกครั้ง</t>
  </si>
  <si>
    <t xml:space="preserve">กลับไปใช้ฐาน Jun run-rate · ตัวเลข Suggested PR กลับเป็นค่าเดิมทุกแถว (พิสูจน์ว่าไม่ทำลายข้อมูลเดิม)</t>
  </si>
  <si>
    <t xml:space="preserve">TC-45</t>
  </si>
  <si>
    <t xml:space="preserve">ชุดข้อมูลใน Data Explorer</t>
  </si>
  <si>
    <t xml:space="preserve">เลือกชุดข้อมูล 'Sales Forecast · Next Month (POS)'</t>
  </si>
  <si>
    <t xml:space="preserve">แสดงรายการพยากรณ์ทั้งหมด · export จากที่นี่ได้ครบทุกแถว</t>
  </si>
  <si>
    <t xml:space="preserve">TC-46</t>
  </si>
  <si>
    <t xml:space="preserve">ประสิทธิภาพกับไฟล์ใหญ่</t>
  </si>
  <si>
    <t xml:space="preserve">อัปโหลด export จริงย้อนหลัง 24 เดือน (คาดว่า 5,000+ แถว)</t>
  </si>
  <si>
    <t xml:space="preserve">ประมวลผลเสร็จภายใน 3 วินาที · หน้าเว็บไม่ค้าง · ตารางเลื่อนได้ลื่น</t>
  </si>
  <si>
    <t xml:space="preserve">TC-47</t>
  </si>
  <si>
    <t xml:space="preserve">ทำงานได้เมื่อออฟไลน์บางส่วน</t>
  </si>
  <si>
    <t xml:space="preserve">ตัดการเชื่อมต่ออินเทอร์เน็ต แล้วอัปโหลดไฟล์ .csv</t>
  </si>
  <si>
    <t xml:space="preserve">อ่านไฟล์และพยากรณ์ได้ตามปกติ · เมื่อกด Export Excel ระบบแจ้งและดาวน์โหลดเป็น CSV แทน</t>
  </si>
  <si>
    <t xml:space="preserve">TC-48</t>
  </si>
  <si>
    <t xml:space="preserve">ข้อมูลไม่ออกจากเครื่อง</t>
  </si>
  <si>
    <t xml:space="preserve">เปิด Developer Tools แท็บ Network แล้วอัปโหลดไฟล์</t>
  </si>
  <si>
    <t xml:space="preserve">ไม่มี request ใดที่ส่งเนื้อหาไฟล์ออกไป · มีเพียงการโหลด CDN ตอนเปิดหน้าเท่านั้น</t>
  </si>
  <si>
    <t xml:space="preserve">TC-49</t>
  </si>
  <si>
    <t xml:space="preserve">แสดงผลบนหน้าจอเล็ก</t>
  </si>
  <si>
    <t xml:space="preserve">เปิดบนแท็บเล็ตหรือย่อหน้าต่างเหลือ 900px</t>
  </si>
  <si>
    <t xml:space="preserve">การ์ดเรียงเป็นคอลัมน์เดียว · ตารางเลื่อนแนวนอนได้ · ไม่มีข้อความล้นทับกัน</t>
  </si>
  <si>
    <t xml:space="preserve">TC-50</t>
  </si>
  <si>
    <t xml:space="preserve">ภาษาไทยแสดงครบ</t>
  </si>
  <si>
    <t xml:space="preserve">ตรวจทุกหน้าจอในโมดูล</t>
  </si>
  <si>
    <t xml:space="preserve">ไม่มีข้อความภาษาอังกฤษที่ควรเป็นไทย · ไม่มีตัวอักษรเพี้ยนหรือกล่องสี่เหลี่ยม</t>
  </si>
  <si>
    <t xml:space="preserve">TC-51</t>
  </si>
  <si>
    <t xml:space="preserve">ล้างข้อมูลแล้วเริ่มใหม่</t>
  </si>
  <si>
    <t xml:space="preserve">กดปุ่ม 'ล้างข้อมูล'</t>
  </si>
  <si>
    <t xml:space="preserve">การ์ดทั้งหมดกลับสู่สถานะเริ่มต้น · ถ้าเคยเปิดฐาน PR แบบ forecast ไว้ ต้องกลับเป็นฐานเดิมด้วย</t>
  </si>
  <si>
    <t xml:space="preserve">เกณฑ์การยอมรับระดับระบบ (Go-live criteria)</t>
  </si>
  <si>
    <t xml:space="preserve">วิธีพิสูจน์</t>
  </si>
  <si>
    <t xml:space="preserve">AC-01</t>
  </si>
  <si>
    <t xml:space="preserve">ผู้วางแผนที่ผ่านการอบรม 30 นาที ทำรอบพยากรณ์เดือนถัดไปได้เองครบทุกขั้น โดยไม่ขอความช่วยเหลือจาก IT</t>
  </si>
  <si>
    <t xml:space="preserve">ให้ผู้วางแผน 2 คนทำจริงโดยมีผู้สังเกตการณ์ จับเวลาและนับจำนวนครั้งที่ต้องถาม</t>
  </si>
  <si>
    <t xml:space="preserve">AC-02</t>
  </si>
  <si>
    <t xml:space="preserve">ผลพยากรณ์จากไฟล์รูปแบบ long และ wide ที่มีข้อมูลชุดเดียวกัน เท่ากันทุกตัว</t>
  </si>
  <si>
    <t xml:space="preserve">AC-03</t>
  </si>
  <si>
    <t xml:space="preserve">วิธีที่ระบบเลือกให้แต่ละ SKU เป็นวิธีที่ WMAPE ต่ำสุดจริงบน holdout</t>
  </si>
  <si>
    <t xml:space="preserve">TC-40 · ตรวจชีต MethodScores 10 แถวสุ่ม</t>
  </si>
  <si>
    <t xml:space="preserve">AC-04</t>
  </si>
  <si>
    <t xml:space="preserve">ทุกตัวเลขบนหน้าจอสืบกลับไปยังไฟล์นำเข้าได้ผ่านชีต History</t>
  </si>
  <si>
    <t xml:space="preserve">AC-05</t>
  </si>
  <si>
    <t xml:space="preserve">การแก้ตัวเลขด้วยมือทุกครั้งมีเหตุผลและชื่อผู้ทบทวนบันทึกไว้ในไฟล์ส่งออก</t>
  </si>
  <si>
    <t xml:space="preserve">AC-06</t>
  </si>
  <si>
    <t xml:space="preserve">การเปิดฐานพยากรณ์ให้ Suggested PR ย้อนกลับได้ และค่าตั้งต้นเหมือนพฤติกรรมเดิมทุกประการ</t>
  </si>
  <si>
    <t xml:space="preserve">TC-43 · TC-44</t>
  </si>
  <si>
    <t xml:space="preserve">AC-07</t>
  </si>
  <si>
    <t xml:space="preserve">ไฟล์ยอดขายไม่ถูกส่งออกจากเครื่องผู้ใช้</t>
  </si>
  <si>
    <t xml:space="preserve">AC-08</t>
  </si>
  <si>
    <t xml:space="preserve">โมดูลใช้งานได้เมื่อ CDN ภายนอกเข้าไม่ถึง โดยเส้นทาง CSV ทำงานเต็มรูปแบบ</t>
  </si>
  <si>
    <t xml:space="preserve">AC-09</t>
  </si>
  <si>
    <t xml:space="preserve">ประมวลผลไฟล์ขนาดใช้งานจริงเสร็จภายใน 3 วินาที</t>
  </si>
  <si>
    <t xml:space="preserve">AC-10</t>
  </si>
  <si>
    <t xml:space="preserve">รหัส SKU ใน FoodStory จับคู่กับ IBP workbook ได้อย่างน้อย 95% ของดีมานด์</t>
  </si>
  <si>
    <t xml:space="preserve">TC-28 · ถ้าไม่ผ่านต้องแก้ master data ก่อน go-live</t>
  </si>
  <si>
    <t xml:space="preserve">AC-11</t>
  </si>
  <si>
    <t xml:space="preserve">กรณีทดสอบระดับสูง (Critical) ผ่านครบ 100%</t>
  </si>
  <si>
    <t xml:space="preserve">สรุปจากชีต 01–06</t>
  </si>
  <si>
    <t xml:space="preserve">AC-12</t>
  </si>
  <si>
    <t xml:space="preserve">กรณีทดสอบที่เหลือผ่านอย่างน้อย 90%</t>
  </si>
  <si>
    <t xml:space="preserve">สรุปผลการทดสอบ</t>
  </si>
  <si>
    <t xml:space="preserve">จำนวนกรณีทดสอบทั้งหมด</t>
  </si>
  <si>
    <t xml:space="preserve">ผ่าน (Pass)</t>
  </si>
  <si>
    <t xml:space="preserve">ไม่ผ่าน (Fail)</t>
  </si>
  <si>
    <t xml:space="preserve">ติดขัด (Blocked)</t>
  </si>
  <si>
    <t xml:space="preserve">อัตราผ่าน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</si>
</sst>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A1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E695F"/>
      <name val="Arial"/>
      <family val="0"/>
      <charset val="1"/>
    </font>
    <font>
      <sz val="10"/>
      <color rgb="FF1C1A17"/>
      <name val="Arial"/>
      <family val="0"/>
      <charset val="1"/>
    </font>
    <font>
      <b val="true"/>
      <sz val="10"/>
      <color rgb="FF1C1A17"/>
      <name val="Arial"/>
      <family val="0"/>
      <charset val="1"/>
    </font>
    <font>
      <b val="true"/>
      <sz val="9"/>
      <color rgb="FFFCFAF5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9C4A37"/>
      <name val="Arial"/>
      <family val="0"/>
      <charset val="1"/>
    </font>
    <font>
      <b val="true"/>
      <sz val="9"/>
      <color rgb="FF8A6415"/>
      <name val="Arial"/>
      <family val="0"/>
      <charset val="1"/>
    </font>
    <font>
      <b val="true"/>
      <sz val="9"/>
      <color rgb="FF6E69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1A17"/>
        <bgColor rgb="FF333333"/>
      </patternFill>
    </fill>
    <fill>
      <patternFill patternType="solid">
        <fgColor rgb="FFFCFAF5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1C3"/>
      </left>
      <right style="thin">
        <color rgb="FFD8D1C3"/>
      </right>
      <top style="thin">
        <color rgb="FFD8D1C3"/>
      </top>
      <bottom style="thin">
        <color rgb="FFD8D1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FA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5"/>
      <rgbColor rgb="FF800080"/>
      <rgbColor rgb="FF008080"/>
      <rgbColor rgb="FFD8D1C3"/>
      <rgbColor rgb="FF808080"/>
      <rgbColor rgb="FF9999FF"/>
      <rgbColor rgb="FF9C4A37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95F"/>
      <rgbColor rgb="FF969696"/>
      <rgbColor rgb="FF003366"/>
      <rgbColor rgb="FF339966"/>
      <rgbColor rgb="FF003300"/>
      <rgbColor rgb="FF1C1A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5"/>
  </cols>
  <sheetData>
    <row r="1" customFormat="false" ht="19.7" hidden="false" customHeight="false" outlineLevel="0" collapsed="false">
      <c r="B1" s="1" t="s">
        <v>0</v>
      </c>
      <c r="C1" s="2"/>
    </row>
    <row r="2" customFormat="false" ht="15" hidden="false" customHeight="false" outlineLevel="0" collapsed="false">
      <c r="B2" s="3" t="s">
        <v>1</v>
      </c>
      <c r="C2" s="2"/>
    </row>
    <row r="3" customFormat="false" ht="15" hidden="false" customHeight="false" outlineLevel="0" collapsed="false">
      <c r="B3" s="4"/>
      <c r="C3" s="2"/>
    </row>
    <row r="4" customFormat="false" ht="15" hidden="false" customHeight="false" outlineLevel="0" collapsed="false">
      <c r="B4" s="4" t="s">
        <v>2</v>
      </c>
      <c r="C4" s="2" t="s">
        <v>3</v>
      </c>
    </row>
    <row r="5" customFormat="false" ht="15" hidden="false" customHeight="false" outlineLevel="0" collapsed="false">
      <c r="B5" s="4" t="s">
        <v>4</v>
      </c>
      <c r="C5" s="2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7" customFormat="false" ht="15" hidden="false" customHeight="false" outlineLevel="0" collapsed="false">
      <c r="B7" s="4" t="s">
        <v>8</v>
      </c>
      <c r="C7" s="5" t="s">
        <v>9</v>
      </c>
    </row>
    <row r="8" customFormat="false" ht="15" hidden="false" customHeight="false" outlineLevel="0" collapsed="false">
      <c r="B8" s="4" t="s">
        <v>10</v>
      </c>
      <c r="C8" s="2" t="s">
        <v>11</v>
      </c>
    </row>
    <row r="9" customFormat="false" ht="15" hidden="false" customHeight="false" outlineLevel="0" collapsed="false">
      <c r="B9" s="4"/>
      <c r="C9" s="2"/>
    </row>
    <row r="10" customFormat="false" ht="15" hidden="false" customHeight="false" outlineLevel="0" collapsed="false">
      <c r="B10" s="6" t="s">
        <v>12</v>
      </c>
      <c r="C10" s="2"/>
    </row>
    <row r="11" customFormat="false" ht="15" hidden="false" customHeight="false" outlineLevel="0" collapsed="false">
      <c r="B11" s="4" t="s">
        <v>13</v>
      </c>
      <c r="C11" s="2" t="s">
        <v>14</v>
      </c>
    </row>
    <row r="12" customFormat="false" ht="15" hidden="false" customHeight="false" outlineLevel="0" collapsed="false">
      <c r="B12" s="4" t="s">
        <v>15</v>
      </c>
      <c r="C12" s="2" t="s">
        <v>16</v>
      </c>
    </row>
    <row r="13" customFormat="false" ht="15" hidden="false" customHeight="false" outlineLevel="0" collapsed="false">
      <c r="B13" s="4" t="s">
        <v>17</v>
      </c>
      <c r="C13" s="2" t="s">
        <v>18</v>
      </c>
    </row>
    <row r="14" customFormat="false" ht="15" hidden="false" customHeight="false" outlineLevel="0" collapsed="false">
      <c r="B14" s="4" t="s">
        <v>19</v>
      </c>
      <c r="C14" s="2" t="s">
        <v>20</v>
      </c>
    </row>
    <row r="15" customFormat="false" ht="15" hidden="false" customHeight="false" outlineLevel="0" collapsed="false">
      <c r="B15" s="4" t="s">
        <v>21</v>
      </c>
      <c r="C15" s="2" t="s">
        <v>22</v>
      </c>
    </row>
    <row r="16" customFormat="false" ht="15" hidden="false" customHeight="false" outlineLevel="0" collapsed="false">
      <c r="B16" s="4"/>
      <c r="C16" s="2"/>
    </row>
    <row r="17" customFormat="false" ht="15" hidden="false" customHeight="false" outlineLevel="0" collapsed="false">
      <c r="B17" s="6" t="s">
        <v>23</v>
      </c>
      <c r="C17" s="2"/>
    </row>
    <row r="18" customFormat="false" ht="15" hidden="false" customHeight="false" outlineLevel="0" collapsed="false">
      <c r="B18" s="4" t="s">
        <v>24</v>
      </c>
      <c r="C18" s="2" t="s">
        <v>25</v>
      </c>
    </row>
    <row r="19" customFormat="false" ht="15" hidden="false" customHeight="false" outlineLevel="0" collapsed="false">
      <c r="B19" s="4" t="s">
        <v>26</v>
      </c>
      <c r="C19" s="2" t="s">
        <v>27</v>
      </c>
    </row>
    <row r="20" customFormat="false" ht="15" hidden="false" customHeight="false" outlineLevel="0" collapsed="false">
      <c r="B20" s="4" t="s">
        <v>28</v>
      </c>
      <c r="C20" s="2" t="s">
        <v>29</v>
      </c>
    </row>
    <row r="21" customFormat="false" ht="15" hidden="false" customHeight="false" outlineLevel="0" collapsed="false">
      <c r="B21" s="4" t="s">
        <v>30</v>
      </c>
      <c r="C21" s="2" t="s">
        <v>31</v>
      </c>
    </row>
    <row r="22" customFormat="false" ht="15" hidden="false" customHeight="false" outlineLevel="0" collapsed="false">
      <c r="B22" s="4"/>
      <c r="C22" s="2"/>
    </row>
    <row r="23" customFormat="false" ht="15" hidden="false" customHeight="false" outlineLevel="0" collapsed="false">
      <c r="B23" s="6" t="s">
        <v>32</v>
      </c>
      <c r="C23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customFormat="false" ht="22.35" hidden="false" customHeight="false" outlineLevel="0" collapsed="false">
      <c r="A2" s="8" t="s">
        <v>42</v>
      </c>
      <c r="B2" s="9" t="s">
        <v>43</v>
      </c>
      <c r="C2" s="10" t="s">
        <v>44</v>
      </c>
      <c r="D2" s="10" t="s">
        <v>45</v>
      </c>
      <c r="E2" s="10" t="s">
        <v>46</v>
      </c>
      <c r="F2" s="11"/>
      <c r="G2" s="12"/>
      <c r="H2" s="8"/>
    </row>
    <row r="3" customFormat="false" ht="22.35" hidden="false" customHeight="false" outlineLevel="0" collapsed="false">
      <c r="A3" s="13" t="s">
        <v>47</v>
      </c>
      <c r="B3" s="14" t="s">
        <v>43</v>
      </c>
      <c r="C3" s="15" t="s">
        <v>48</v>
      </c>
      <c r="D3" s="15" t="s">
        <v>49</v>
      </c>
      <c r="E3" s="15" t="s">
        <v>50</v>
      </c>
      <c r="F3" s="11"/>
      <c r="G3" s="12"/>
      <c r="H3" s="13"/>
    </row>
    <row r="4" customFormat="false" ht="22.35" hidden="false" customHeight="false" outlineLevel="0" collapsed="false">
      <c r="A4" s="8" t="s">
        <v>51</v>
      </c>
      <c r="B4" s="9" t="s">
        <v>43</v>
      </c>
      <c r="C4" s="10" t="s">
        <v>52</v>
      </c>
      <c r="D4" s="10" t="s">
        <v>53</v>
      </c>
      <c r="E4" s="10" t="s">
        <v>54</v>
      </c>
      <c r="F4" s="11"/>
      <c r="G4" s="12"/>
      <c r="H4" s="8"/>
    </row>
    <row r="5" customFormat="false" ht="15" hidden="false" customHeight="false" outlineLevel="0" collapsed="false">
      <c r="A5" s="13" t="s">
        <v>55</v>
      </c>
      <c r="B5" s="14" t="s">
        <v>43</v>
      </c>
      <c r="C5" s="15" t="s">
        <v>56</v>
      </c>
      <c r="D5" s="15" t="s">
        <v>57</v>
      </c>
      <c r="E5" s="15" t="s">
        <v>58</v>
      </c>
      <c r="F5" s="11"/>
      <c r="G5" s="12"/>
      <c r="H5" s="13"/>
    </row>
    <row r="6" customFormat="false" ht="22.35" hidden="false" customHeight="false" outlineLevel="0" collapsed="false">
      <c r="A6" s="8" t="s">
        <v>59</v>
      </c>
      <c r="B6" s="9" t="s">
        <v>43</v>
      </c>
      <c r="C6" s="10" t="s">
        <v>60</v>
      </c>
      <c r="D6" s="10" t="s">
        <v>61</v>
      </c>
      <c r="E6" s="10" t="s">
        <v>62</v>
      </c>
      <c r="F6" s="11"/>
      <c r="G6" s="12"/>
      <c r="H6" s="8"/>
    </row>
    <row r="7" customFormat="false" ht="22.35" hidden="false" customHeight="false" outlineLevel="0" collapsed="false">
      <c r="A7" s="13" t="s">
        <v>63</v>
      </c>
      <c r="B7" s="16" t="s">
        <v>64</v>
      </c>
      <c r="C7" s="15" t="s">
        <v>65</v>
      </c>
      <c r="D7" s="15" t="s">
        <v>66</v>
      </c>
      <c r="E7" s="15" t="s">
        <v>67</v>
      </c>
      <c r="F7" s="11"/>
      <c r="G7" s="12"/>
      <c r="H7" s="13"/>
    </row>
    <row r="8" customFormat="false" ht="22.35" hidden="false" customHeight="false" outlineLevel="0" collapsed="false">
      <c r="A8" s="8" t="s">
        <v>68</v>
      </c>
      <c r="B8" s="17" t="s">
        <v>64</v>
      </c>
      <c r="C8" s="10" t="s">
        <v>69</v>
      </c>
      <c r="D8" s="10" t="s">
        <v>70</v>
      </c>
      <c r="E8" s="10" t="s">
        <v>71</v>
      </c>
      <c r="F8" s="11"/>
      <c r="G8" s="12"/>
      <c r="H8" s="8"/>
    </row>
    <row r="9" customFormat="false" ht="22.35" hidden="false" customHeight="false" outlineLevel="0" collapsed="false">
      <c r="A9" s="13" t="s">
        <v>72</v>
      </c>
      <c r="B9" s="16" t="s">
        <v>64</v>
      </c>
      <c r="C9" s="15" t="s">
        <v>73</v>
      </c>
      <c r="D9" s="15" t="s">
        <v>74</v>
      </c>
      <c r="E9" s="15" t="s">
        <v>75</v>
      </c>
      <c r="F9" s="11"/>
      <c r="G9" s="12"/>
      <c r="H9" s="13"/>
    </row>
    <row r="10" customFormat="false" ht="22.35" hidden="false" customHeight="false" outlineLevel="0" collapsed="false">
      <c r="A10" s="8" t="s">
        <v>76</v>
      </c>
      <c r="B10" s="18" t="s">
        <v>77</v>
      </c>
      <c r="C10" s="10" t="s">
        <v>78</v>
      </c>
      <c r="D10" s="10" t="s">
        <v>79</v>
      </c>
      <c r="E10" s="10" t="s">
        <v>80</v>
      </c>
      <c r="F10" s="11"/>
      <c r="G10" s="12"/>
      <c r="H10" s="8"/>
    </row>
  </sheetData>
  <dataValidations count="1">
    <dataValidation allowBlank="true" errorStyle="stop" operator="between" showDropDown="false" showErrorMessage="false" showInputMessage="false" sqref="G2:G10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customFormat="false" ht="15" hidden="false" customHeight="false" outlineLevel="0" collapsed="false">
      <c r="A2" s="8" t="s">
        <v>81</v>
      </c>
      <c r="B2" s="9" t="s">
        <v>43</v>
      </c>
      <c r="C2" s="10" t="s">
        <v>82</v>
      </c>
      <c r="D2" s="10" t="s">
        <v>83</v>
      </c>
      <c r="E2" s="10" t="s">
        <v>84</v>
      </c>
      <c r="F2" s="11"/>
      <c r="G2" s="12"/>
      <c r="H2" s="8"/>
    </row>
    <row r="3" customFormat="false" ht="15" hidden="false" customHeight="false" outlineLevel="0" collapsed="false">
      <c r="A3" s="13" t="s">
        <v>85</v>
      </c>
      <c r="B3" s="14" t="s">
        <v>43</v>
      </c>
      <c r="C3" s="15" t="s">
        <v>86</v>
      </c>
      <c r="D3" s="15" t="s">
        <v>87</v>
      </c>
      <c r="E3" s="15" t="s">
        <v>88</v>
      </c>
      <c r="F3" s="11"/>
      <c r="G3" s="12"/>
      <c r="H3" s="13"/>
    </row>
    <row r="4" customFormat="false" ht="15" hidden="false" customHeight="false" outlineLevel="0" collapsed="false">
      <c r="A4" s="8" t="s">
        <v>89</v>
      </c>
      <c r="B4" s="17" t="s">
        <v>64</v>
      </c>
      <c r="C4" s="10" t="s">
        <v>90</v>
      </c>
      <c r="D4" s="10" t="s">
        <v>91</v>
      </c>
      <c r="E4" s="10" t="s">
        <v>92</v>
      </c>
      <c r="F4" s="11"/>
      <c r="G4" s="12"/>
      <c r="H4" s="8"/>
    </row>
    <row r="5" customFormat="false" ht="15" hidden="false" customHeight="false" outlineLevel="0" collapsed="false">
      <c r="A5" s="13" t="s">
        <v>93</v>
      </c>
      <c r="B5" s="16" t="s">
        <v>64</v>
      </c>
      <c r="C5" s="15" t="s">
        <v>94</v>
      </c>
      <c r="D5" s="15" t="s">
        <v>95</v>
      </c>
      <c r="E5" s="15" t="s">
        <v>96</v>
      </c>
      <c r="F5" s="11"/>
      <c r="G5" s="12"/>
      <c r="H5" s="13"/>
    </row>
    <row r="6" customFormat="false" ht="15" hidden="false" customHeight="false" outlineLevel="0" collapsed="false">
      <c r="A6" s="8" t="s">
        <v>97</v>
      </c>
      <c r="B6" s="9" t="s">
        <v>43</v>
      </c>
      <c r="C6" s="10" t="s">
        <v>98</v>
      </c>
      <c r="D6" s="10" t="s">
        <v>99</v>
      </c>
      <c r="E6" s="10" t="s">
        <v>100</v>
      </c>
      <c r="F6" s="11"/>
      <c r="G6" s="12"/>
      <c r="H6" s="8"/>
    </row>
    <row r="7" customFormat="false" ht="22.35" hidden="false" customHeight="false" outlineLevel="0" collapsed="false">
      <c r="A7" s="13" t="s">
        <v>101</v>
      </c>
      <c r="B7" s="16" t="s">
        <v>64</v>
      </c>
      <c r="C7" s="15" t="s">
        <v>102</v>
      </c>
      <c r="D7" s="15" t="s">
        <v>103</v>
      </c>
      <c r="E7" s="15" t="s">
        <v>104</v>
      </c>
      <c r="F7" s="11"/>
      <c r="G7" s="12"/>
      <c r="H7" s="13"/>
    </row>
  </sheetData>
  <dataValidations count="1">
    <dataValidation allowBlank="true" errorStyle="stop" operator="between" showDropDown="false" showErrorMessage="false" showInputMessage="false" sqref="G2:G7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customFormat="false" ht="15" hidden="false" customHeight="false" outlineLevel="0" collapsed="false">
      <c r="A2" s="8" t="s">
        <v>105</v>
      </c>
      <c r="B2" s="9" t="s">
        <v>43</v>
      </c>
      <c r="C2" s="10" t="s">
        <v>106</v>
      </c>
      <c r="D2" s="10" t="s">
        <v>107</v>
      </c>
      <c r="E2" s="10" t="s">
        <v>108</v>
      </c>
      <c r="F2" s="11"/>
      <c r="G2" s="12"/>
      <c r="H2" s="8"/>
    </row>
    <row r="3" customFormat="false" ht="15" hidden="false" customHeight="false" outlineLevel="0" collapsed="false">
      <c r="A3" s="13" t="s">
        <v>109</v>
      </c>
      <c r="B3" s="14" t="s">
        <v>43</v>
      </c>
      <c r="C3" s="15" t="s">
        <v>110</v>
      </c>
      <c r="D3" s="15" t="s">
        <v>111</v>
      </c>
      <c r="E3" s="15" t="s">
        <v>112</v>
      </c>
      <c r="F3" s="11"/>
      <c r="G3" s="12"/>
      <c r="H3" s="13"/>
    </row>
    <row r="4" customFormat="false" ht="15" hidden="false" customHeight="false" outlineLevel="0" collapsed="false">
      <c r="A4" s="8" t="s">
        <v>113</v>
      </c>
      <c r="B4" s="9" t="s">
        <v>43</v>
      </c>
      <c r="C4" s="10" t="s">
        <v>114</v>
      </c>
      <c r="D4" s="10" t="s">
        <v>115</v>
      </c>
      <c r="E4" s="10" t="s">
        <v>116</v>
      </c>
      <c r="F4" s="11"/>
      <c r="G4" s="12"/>
      <c r="H4" s="8"/>
    </row>
    <row r="5" customFormat="false" ht="22.35" hidden="false" customHeight="false" outlineLevel="0" collapsed="false">
      <c r="A5" s="13" t="s">
        <v>117</v>
      </c>
      <c r="B5" s="14" t="s">
        <v>43</v>
      </c>
      <c r="C5" s="15" t="s">
        <v>118</v>
      </c>
      <c r="D5" s="15" t="s">
        <v>119</v>
      </c>
      <c r="E5" s="15" t="s">
        <v>120</v>
      </c>
      <c r="F5" s="11"/>
      <c r="G5" s="12"/>
      <c r="H5" s="13"/>
    </row>
    <row r="6" customFormat="false" ht="15" hidden="false" customHeight="false" outlineLevel="0" collapsed="false">
      <c r="A6" s="8" t="s">
        <v>121</v>
      </c>
      <c r="B6" s="9" t="s">
        <v>43</v>
      </c>
      <c r="C6" s="10" t="s">
        <v>122</v>
      </c>
      <c r="D6" s="10" t="s">
        <v>123</v>
      </c>
      <c r="E6" s="10" t="s">
        <v>124</v>
      </c>
      <c r="F6" s="11"/>
      <c r="G6" s="12"/>
      <c r="H6" s="8"/>
    </row>
    <row r="7" customFormat="false" ht="15" hidden="false" customHeight="false" outlineLevel="0" collapsed="false">
      <c r="A7" s="13" t="s">
        <v>125</v>
      </c>
      <c r="B7" s="16" t="s">
        <v>64</v>
      </c>
      <c r="C7" s="15" t="s">
        <v>126</v>
      </c>
      <c r="D7" s="15" t="s">
        <v>127</v>
      </c>
      <c r="E7" s="15" t="s">
        <v>128</v>
      </c>
      <c r="F7" s="11"/>
      <c r="G7" s="12"/>
      <c r="H7" s="13"/>
    </row>
    <row r="8" customFormat="false" ht="22.35" hidden="false" customHeight="false" outlineLevel="0" collapsed="false">
      <c r="A8" s="8" t="s">
        <v>129</v>
      </c>
      <c r="B8" s="9" t="s">
        <v>43</v>
      </c>
      <c r="C8" s="10" t="s">
        <v>130</v>
      </c>
      <c r="D8" s="10" t="s">
        <v>131</v>
      </c>
      <c r="E8" s="10" t="s">
        <v>132</v>
      </c>
      <c r="F8" s="11"/>
      <c r="G8" s="12"/>
      <c r="H8" s="8"/>
    </row>
    <row r="9" customFormat="false" ht="15" hidden="false" customHeight="false" outlineLevel="0" collapsed="false">
      <c r="A9" s="13" t="s">
        <v>133</v>
      </c>
      <c r="B9" s="14" t="s">
        <v>43</v>
      </c>
      <c r="C9" s="15" t="s">
        <v>134</v>
      </c>
      <c r="D9" s="15" t="s">
        <v>135</v>
      </c>
      <c r="E9" s="15" t="s">
        <v>136</v>
      </c>
      <c r="F9" s="11"/>
      <c r="G9" s="12"/>
      <c r="H9" s="13"/>
    </row>
    <row r="10" customFormat="false" ht="22.35" hidden="false" customHeight="false" outlineLevel="0" collapsed="false">
      <c r="A10" s="8" t="s">
        <v>137</v>
      </c>
      <c r="B10" s="9" t="s">
        <v>43</v>
      </c>
      <c r="C10" s="10" t="s">
        <v>138</v>
      </c>
      <c r="D10" s="10" t="s">
        <v>139</v>
      </c>
      <c r="E10" s="10" t="s">
        <v>140</v>
      </c>
      <c r="F10" s="11"/>
      <c r="G10" s="12"/>
      <c r="H10" s="8"/>
    </row>
    <row r="11" customFormat="false" ht="15" hidden="false" customHeight="false" outlineLevel="0" collapsed="false">
      <c r="A11" s="13" t="s">
        <v>141</v>
      </c>
      <c r="B11" s="14" t="s">
        <v>43</v>
      </c>
      <c r="C11" s="15" t="s">
        <v>142</v>
      </c>
      <c r="D11" s="15" t="s">
        <v>143</v>
      </c>
      <c r="E11" s="15" t="s">
        <v>144</v>
      </c>
      <c r="F11" s="11"/>
      <c r="G11" s="12"/>
      <c r="H11" s="13"/>
    </row>
    <row r="12" customFormat="false" ht="15" hidden="false" customHeight="false" outlineLevel="0" collapsed="false">
      <c r="A12" s="8" t="s">
        <v>145</v>
      </c>
      <c r="B12" s="17" t="s">
        <v>64</v>
      </c>
      <c r="C12" s="10" t="s">
        <v>146</v>
      </c>
      <c r="D12" s="10" t="s">
        <v>147</v>
      </c>
      <c r="E12" s="10" t="s">
        <v>148</v>
      </c>
      <c r="F12" s="11"/>
      <c r="G12" s="12"/>
      <c r="H12" s="8"/>
    </row>
    <row r="13" customFormat="false" ht="15" hidden="false" customHeight="false" outlineLevel="0" collapsed="false">
      <c r="A13" s="13" t="s">
        <v>149</v>
      </c>
      <c r="B13" s="16" t="s">
        <v>64</v>
      </c>
      <c r="C13" s="15" t="s">
        <v>150</v>
      </c>
      <c r="D13" s="15" t="s">
        <v>151</v>
      </c>
      <c r="E13" s="15" t="s">
        <v>152</v>
      </c>
      <c r="F13" s="11"/>
      <c r="G13" s="12"/>
      <c r="H13" s="13"/>
    </row>
  </sheetData>
  <dataValidations count="1">
    <dataValidation allowBlank="true" errorStyle="stop" operator="between" showDropDown="false" showErrorMessage="false" showInputMessage="false" sqref="G2:G13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customFormat="false" ht="15" hidden="false" customHeight="false" outlineLevel="0" collapsed="false">
      <c r="A2" s="8" t="s">
        <v>153</v>
      </c>
      <c r="B2" s="9" t="s">
        <v>43</v>
      </c>
      <c r="C2" s="10" t="s">
        <v>154</v>
      </c>
      <c r="D2" s="10" t="s">
        <v>155</v>
      </c>
      <c r="E2" s="10" t="s">
        <v>156</v>
      </c>
      <c r="F2" s="11"/>
      <c r="G2" s="12"/>
      <c r="H2" s="8"/>
    </row>
    <row r="3" customFormat="false" ht="15" hidden="false" customHeight="false" outlineLevel="0" collapsed="false">
      <c r="A3" s="13" t="s">
        <v>157</v>
      </c>
      <c r="B3" s="14" t="s">
        <v>43</v>
      </c>
      <c r="C3" s="15" t="s">
        <v>158</v>
      </c>
      <c r="D3" s="15" t="s">
        <v>159</v>
      </c>
      <c r="E3" s="15" t="s">
        <v>160</v>
      </c>
      <c r="F3" s="11"/>
      <c r="G3" s="12"/>
      <c r="H3" s="13"/>
    </row>
    <row r="4" customFormat="false" ht="22.35" hidden="false" customHeight="false" outlineLevel="0" collapsed="false">
      <c r="A4" s="8" t="s">
        <v>161</v>
      </c>
      <c r="B4" s="9" t="s">
        <v>43</v>
      </c>
      <c r="C4" s="10" t="s">
        <v>162</v>
      </c>
      <c r="D4" s="10" t="s">
        <v>163</v>
      </c>
      <c r="E4" s="10" t="s">
        <v>164</v>
      </c>
      <c r="F4" s="11"/>
      <c r="G4" s="12"/>
      <c r="H4" s="8"/>
    </row>
    <row r="5" customFormat="false" ht="22.35" hidden="false" customHeight="false" outlineLevel="0" collapsed="false">
      <c r="A5" s="13" t="s">
        <v>165</v>
      </c>
      <c r="B5" s="14" t="s">
        <v>43</v>
      </c>
      <c r="C5" s="15" t="s">
        <v>166</v>
      </c>
      <c r="D5" s="15" t="s">
        <v>167</v>
      </c>
      <c r="E5" s="15" t="s">
        <v>168</v>
      </c>
      <c r="F5" s="11"/>
      <c r="G5" s="12"/>
      <c r="H5" s="13"/>
    </row>
    <row r="6" customFormat="false" ht="22.35" hidden="false" customHeight="false" outlineLevel="0" collapsed="false">
      <c r="A6" s="8" t="s">
        <v>169</v>
      </c>
      <c r="B6" s="9" t="s">
        <v>43</v>
      </c>
      <c r="C6" s="10" t="s">
        <v>170</v>
      </c>
      <c r="D6" s="10" t="s">
        <v>171</v>
      </c>
      <c r="E6" s="10" t="s">
        <v>172</v>
      </c>
      <c r="F6" s="11"/>
      <c r="G6" s="12"/>
      <c r="H6" s="8"/>
    </row>
    <row r="7" customFormat="false" ht="15" hidden="false" customHeight="false" outlineLevel="0" collapsed="false">
      <c r="A7" s="13" t="s">
        <v>173</v>
      </c>
      <c r="B7" s="14" t="s">
        <v>43</v>
      </c>
      <c r="C7" s="15" t="s">
        <v>174</v>
      </c>
      <c r="D7" s="15" t="s">
        <v>175</v>
      </c>
      <c r="E7" s="15" t="s">
        <v>176</v>
      </c>
      <c r="F7" s="11"/>
      <c r="G7" s="12"/>
      <c r="H7" s="13"/>
    </row>
    <row r="8" customFormat="false" ht="15" hidden="false" customHeight="false" outlineLevel="0" collapsed="false">
      <c r="A8" s="8" t="s">
        <v>177</v>
      </c>
      <c r="B8" s="9" t="s">
        <v>43</v>
      </c>
      <c r="C8" s="10" t="s">
        <v>178</v>
      </c>
      <c r="D8" s="10" t="s">
        <v>179</v>
      </c>
      <c r="E8" s="10" t="s">
        <v>180</v>
      </c>
      <c r="F8" s="11"/>
      <c r="G8" s="12"/>
      <c r="H8" s="8"/>
    </row>
    <row r="9" customFormat="false" ht="15" hidden="false" customHeight="false" outlineLevel="0" collapsed="false">
      <c r="A9" s="13" t="s">
        <v>181</v>
      </c>
      <c r="B9" s="16" t="s">
        <v>64</v>
      </c>
      <c r="C9" s="15" t="s">
        <v>182</v>
      </c>
      <c r="D9" s="15" t="s">
        <v>183</v>
      </c>
      <c r="E9" s="15" t="s">
        <v>184</v>
      </c>
      <c r="F9" s="11"/>
      <c r="G9" s="12"/>
      <c r="H9" s="13"/>
    </row>
    <row r="10" customFormat="false" ht="15" hidden="false" customHeight="false" outlineLevel="0" collapsed="false">
      <c r="A10" s="8" t="s">
        <v>185</v>
      </c>
      <c r="B10" s="17" t="s">
        <v>64</v>
      </c>
      <c r="C10" s="10" t="s">
        <v>186</v>
      </c>
      <c r="D10" s="10" t="s">
        <v>187</v>
      </c>
      <c r="E10" s="10" t="s">
        <v>188</v>
      </c>
      <c r="F10" s="11"/>
      <c r="G10" s="12"/>
      <c r="H10" s="8"/>
    </row>
  </sheetData>
  <dataValidations count="1">
    <dataValidation allowBlank="true" errorStyle="stop" operator="between" showDropDown="false" showErrorMessage="false" showInputMessage="false" sqref="G2:G10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customFormat="false" ht="22.35" hidden="false" customHeight="false" outlineLevel="0" collapsed="false">
      <c r="A2" s="8" t="s">
        <v>189</v>
      </c>
      <c r="B2" s="9" t="s">
        <v>43</v>
      </c>
      <c r="C2" s="10" t="s">
        <v>190</v>
      </c>
      <c r="D2" s="10" t="s">
        <v>191</v>
      </c>
      <c r="E2" s="10" t="s">
        <v>192</v>
      </c>
      <c r="F2" s="11"/>
      <c r="G2" s="12"/>
      <c r="H2" s="8"/>
    </row>
    <row r="3" customFormat="false" ht="22.35" hidden="false" customHeight="false" outlineLevel="0" collapsed="false">
      <c r="A3" s="13" t="s">
        <v>193</v>
      </c>
      <c r="B3" s="14" t="s">
        <v>43</v>
      </c>
      <c r="C3" s="15" t="s">
        <v>194</v>
      </c>
      <c r="D3" s="15" t="s">
        <v>195</v>
      </c>
      <c r="E3" s="15" t="s">
        <v>196</v>
      </c>
      <c r="F3" s="11"/>
      <c r="G3" s="12"/>
      <c r="H3" s="13"/>
    </row>
    <row r="4" customFormat="false" ht="15" hidden="false" customHeight="false" outlineLevel="0" collapsed="false">
      <c r="A4" s="8" t="s">
        <v>197</v>
      </c>
      <c r="B4" s="9" t="s">
        <v>43</v>
      </c>
      <c r="C4" s="10" t="s">
        <v>198</v>
      </c>
      <c r="D4" s="10" t="s">
        <v>199</v>
      </c>
      <c r="E4" s="10" t="s">
        <v>200</v>
      </c>
      <c r="F4" s="11"/>
      <c r="G4" s="12"/>
      <c r="H4" s="8"/>
    </row>
    <row r="5" customFormat="false" ht="22.35" hidden="false" customHeight="false" outlineLevel="0" collapsed="false">
      <c r="A5" s="13" t="s">
        <v>201</v>
      </c>
      <c r="B5" s="16" t="s">
        <v>64</v>
      </c>
      <c r="C5" s="15" t="s">
        <v>202</v>
      </c>
      <c r="D5" s="15" t="s">
        <v>203</v>
      </c>
      <c r="E5" s="15" t="s">
        <v>204</v>
      </c>
      <c r="F5" s="11"/>
      <c r="G5" s="12"/>
      <c r="H5" s="13"/>
    </row>
    <row r="6" customFormat="false" ht="15" hidden="false" customHeight="false" outlineLevel="0" collapsed="false">
      <c r="A6" s="8" t="s">
        <v>205</v>
      </c>
      <c r="B6" s="9" t="s">
        <v>43</v>
      </c>
      <c r="C6" s="10" t="s">
        <v>206</v>
      </c>
      <c r="D6" s="10" t="s">
        <v>207</v>
      </c>
      <c r="E6" s="10" t="s">
        <v>208</v>
      </c>
      <c r="F6" s="11"/>
      <c r="G6" s="12"/>
      <c r="H6" s="8"/>
    </row>
    <row r="7" customFormat="false" ht="15" hidden="false" customHeight="false" outlineLevel="0" collapsed="false">
      <c r="A7" s="13" t="s">
        <v>209</v>
      </c>
      <c r="B7" s="16" t="s">
        <v>64</v>
      </c>
      <c r="C7" s="15" t="s">
        <v>210</v>
      </c>
      <c r="D7" s="15" t="s">
        <v>211</v>
      </c>
      <c r="E7" s="15" t="s">
        <v>212</v>
      </c>
      <c r="F7" s="11"/>
      <c r="G7" s="12"/>
      <c r="H7" s="13"/>
    </row>
    <row r="8" customFormat="false" ht="22.35" hidden="false" customHeight="false" outlineLevel="0" collapsed="false">
      <c r="A8" s="8" t="s">
        <v>213</v>
      </c>
      <c r="B8" s="9" t="s">
        <v>43</v>
      </c>
      <c r="C8" s="10" t="s">
        <v>214</v>
      </c>
      <c r="D8" s="10" t="s">
        <v>215</v>
      </c>
      <c r="E8" s="10" t="s">
        <v>216</v>
      </c>
      <c r="F8" s="11"/>
      <c r="G8" s="12"/>
      <c r="H8" s="8"/>
    </row>
    <row r="9" customFormat="false" ht="22.35" hidden="false" customHeight="false" outlineLevel="0" collapsed="false">
      <c r="A9" s="13" t="s">
        <v>217</v>
      </c>
      <c r="B9" s="14" t="s">
        <v>43</v>
      </c>
      <c r="C9" s="15" t="s">
        <v>218</v>
      </c>
      <c r="D9" s="15" t="s">
        <v>219</v>
      </c>
      <c r="E9" s="15" t="s">
        <v>220</v>
      </c>
      <c r="F9" s="11"/>
      <c r="G9" s="12"/>
      <c r="H9" s="13"/>
    </row>
    <row r="10" customFormat="false" ht="15" hidden="false" customHeight="false" outlineLevel="0" collapsed="false">
      <c r="A10" s="8" t="s">
        <v>221</v>
      </c>
      <c r="B10" s="17" t="s">
        <v>64</v>
      </c>
      <c r="C10" s="10" t="s">
        <v>222</v>
      </c>
      <c r="D10" s="10" t="s">
        <v>223</v>
      </c>
      <c r="E10" s="10" t="s">
        <v>224</v>
      </c>
      <c r="F10" s="11"/>
      <c r="G10" s="12"/>
      <c r="H10" s="8"/>
    </row>
  </sheetData>
  <dataValidations count="1">
    <dataValidation allowBlank="true" errorStyle="stop" operator="between" showDropDown="false" showErrorMessage="false" showInputMessage="false" sqref="G2:G10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30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</row>
    <row r="2" customFormat="false" ht="15" hidden="false" customHeight="false" outlineLevel="0" collapsed="false">
      <c r="A2" s="8" t="s">
        <v>225</v>
      </c>
      <c r="B2" s="9" t="s">
        <v>43</v>
      </c>
      <c r="C2" s="10" t="s">
        <v>226</v>
      </c>
      <c r="D2" s="10" t="s">
        <v>227</v>
      </c>
      <c r="E2" s="10" t="s">
        <v>228</v>
      </c>
      <c r="F2" s="11"/>
      <c r="G2" s="12"/>
      <c r="H2" s="8"/>
    </row>
    <row r="3" customFormat="false" ht="22.35" hidden="false" customHeight="false" outlineLevel="0" collapsed="false">
      <c r="A3" s="13" t="s">
        <v>229</v>
      </c>
      <c r="B3" s="14" t="s">
        <v>43</v>
      </c>
      <c r="C3" s="15" t="s">
        <v>230</v>
      </c>
      <c r="D3" s="15" t="s">
        <v>231</v>
      </c>
      <c r="E3" s="15" t="s">
        <v>232</v>
      </c>
      <c r="F3" s="11"/>
      <c r="G3" s="12"/>
      <c r="H3" s="13"/>
    </row>
    <row r="4" customFormat="false" ht="15" hidden="false" customHeight="false" outlineLevel="0" collapsed="false">
      <c r="A4" s="8" t="s">
        <v>233</v>
      </c>
      <c r="B4" s="9" t="s">
        <v>43</v>
      </c>
      <c r="C4" s="10" t="s">
        <v>234</v>
      </c>
      <c r="D4" s="10" t="s">
        <v>235</v>
      </c>
      <c r="E4" s="10" t="s">
        <v>236</v>
      </c>
      <c r="F4" s="11"/>
      <c r="G4" s="12"/>
      <c r="H4" s="8"/>
    </row>
    <row r="5" customFormat="false" ht="15" hidden="false" customHeight="false" outlineLevel="0" collapsed="false">
      <c r="A5" s="13" t="s">
        <v>237</v>
      </c>
      <c r="B5" s="16" t="s">
        <v>64</v>
      </c>
      <c r="C5" s="15" t="s">
        <v>238</v>
      </c>
      <c r="D5" s="15" t="s">
        <v>239</v>
      </c>
      <c r="E5" s="15" t="s">
        <v>240</v>
      </c>
      <c r="F5" s="11"/>
      <c r="G5" s="12"/>
      <c r="H5" s="13"/>
    </row>
    <row r="6" customFormat="false" ht="15" hidden="false" customHeight="false" outlineLevel="0" collapsed="false">
      <c r="A6" s="8" t="s">
        <v>241</v>
      </c>
      <c r="B6" s="17" t="s">
        <v>64</v>
      </c>
      <c r="C6" s="10" t="s">
        <v>242</v>
      </c>
      <c r="D6" s="10" t="s">
        <v>243</v>
      </c>
      <c r="E6" s="10" t="s">
        <v>244</v>
      </c>
      <c r="F6" s="11"/>
      <c r="G6" s="12"/>
      <c r="H6" s="8"/>
    </row>
    <row r="7" customFormat="false" ht="22.35" hidden="false" customHeight="false" outlineLevel="0" collapsed="false">
      <c r="A7" s="13" t="s">
        <v>245</v>
      </c>
      <c r="B7" s="19" t="s">
        <v>77</v>
      </c>
      <c r="C7" s="15" t="s">
        <v>246</v>
      </c>
      <c r="D7" s="15" t="s">
        <v>247</v>
      </c>
      <c r="E7" s="15" t="s">
        <v>248</v>
      </c>
      <c r="F7" s="11"/>
      <c r="G7" s="12"/>
      <c r="H7" s="13"/>
    </row>
  </sheetData>
  <dataValidations count="1">
    <dataValidation allowBlank="true" errorStyle="stop" operator="between" showDropDown="false" showErrorMessage="false" showInputMessage="false" sqref="G2:G7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8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0" hidden="false" customHeight="true" outlineLevel="0" collapsed="false">
      <c r="A1" s="7" t="s">
        <v>34</v>
      </c>
      <c r="B1" s="7" t="s">
        <v>249</v>
      </c>
      <c r="C1" s="7" t="s">
        <v>250</v>
      </c>
      <c r="D1" s="7" t="s">
        <v>39</v>
      </c>
      <c r="E1" s="7" t="s">
        <v>40</v>
      </c>
    </row>
    <row r="2" customFormat="false" ht="22.35" hidden="false" customHeight="false" outlineLevel="0" collapsed="false">
      <c r="A2" s="8" t="s">
        <v>251</v>
      </c>
      <c r="B2" s="10" t="s">
        <v>252</v>
      </c>
      <c r="C2" s="10" t="s">
        <v>253</v>
      </c>
      <c r="D2" s="11"/>
      <c r="E2" s="12"/>
    </row>
    <row r="3" customFormat="false" ht="15" hidden="false" customHeight="false" outlineLevel="0" collapsed="false">
      <c r="A3" s="13" t="s">
        <v>254</v>
      </c>
      <c r="B3" s="15" t="s">
        <v>255</v>
      </c>
      <c r="C3" s="15" t="s">
        <v>59</v>
      </c>
      <c r="D3" s="11"/>
      <c r="E3" s="12"/>
    </row>
    <row r="4" customFormat="false" ht="15" hidden="false" customHeight="false" outlineLevel="0" collapsed="false">
      <c r="A4" s="8" t="s">
        <v>256</v>
      </c>
      <c r="B4" s="10" t="s">
        <v>257</v>
      </c>
      <c r="C4" s="10" t="s">
        <v>258</v>
      </c>
      <c r="D4" s="11"/>
      <c r="E4" s="12"/>
    </row>
    <row r="5" customFormat="false" ht="15" hidden="false" customHeight="false" outlineLevel="0" collapsed="false">
      <c r="A5" s="13" t="s">
        <v>259</v>
      </c>
      <c r="B5" s="15" t="s">
        <v>260</v>
      </c>
      <c r="C5" s="15" t="s">
        <v>197</v>
      </c>
      <c r="D5" s="11"/>
      <c r="E5" s="12"/>
    </row>
    <row r="6" customFormat="false" ht="15" hidden="false" customHeight="false" outlineLevel="0" collapsed="false">
      <c r="A6" s="8" t="s">
        <v>261</v>
      </c>
      <c r="B6" s="10" t="s">
        <v>262</v>
      </c>
      <c r="C6" s="10" t="s">
        <v>205</v>
      </c>
      <c r="D6" s="11"/>
      <c r="E6" s="12"/>
    </row>
    <row r="7" customFormat="false" ht="15" hidden="false" customHeight="false" outlineLevel="0" collapsed="false">
      <c r="A7" s="13" t="s">
        <v>263</v>
      </c>
      <c r="B7" s="15" t="s">
        <v>264</v>
      </c>
      <c r="C7" s="15" t="s">
        <v>265</v>
      </c>
      <c r="D7" s="11"/>
      <c r="E7" s="12"/>
    </row>
    <row r="8" customFormat="false" ht="15" hidden="false" customHeight="false" outlineLevel="0" collapsed="false">
      <c r="A8" s="8" t="s">
        <v>266</v>
      </c>
      <c r="B8" s="10" t="s">
        <v>267</v>
      </c>
      <c r="C8" s="10" t="s">
        <v>233</v>
      </c>
      <c r="D8" s="11"/>
      <c r="E8" s="12"/>
    </row>
    <row r="9" customFormat="false" ht="15" hidden="false" customHeight="false" outlineLevel="0" collapsed="false">
      <c r="A9" s="13" t="s">
        <v>268</v>
      </c>
      <c r="B9" s="15" t="s">
        <v>269</v>
      </c>
      <c r="C9" s="15" t="s">
        <v>229</v>
      </c>
      <c r="D9" s="11"/>
      <c r="E9" s="12"/>
    </row>
    <row r="10" customFormat="false" ht="15" hidden="false" customHeight="false" outlineLevel="0" collapsed="false">
      <c r="A10" s="8" t="s">
        <v>270</v>
      </c>
      <c r="B10" s="10" t="s">
        <v>271</v>
      </c>
      <c r="C10" s="10" t="s">
        <v>225</v>
      </c>
      <c r="D10" s="11"/>
      <c r="E10" s="12"/>
    </row>
    <row r="11" customFormat="false" ht="15" hidden="false" customHeight="false" outlineLevel="0" collapsed="false">
      <c r="A11" s="13" t="s">
        <v>272</v>
      </c>
      <c r="B11" s="15" t="s">
        <v>273</v>
      </c>
      <c r="C11" s="15" t="s">
        <v>274</v>
      </c>
      <c r="D11" s="11"/>
      <c r="E11" s="12"/>
    </row>
    <row r="12" customFormat="false" ht="15" hidden="false" customHeight="false" outlineLevel="0" collapsed="false">
      <c r="A12" s="8" t="s">
        <v>275</v>
      </c>
      <c r="B12" s="10" t="s">
        <v>276</v>
      </c>
      <c r="C12" s="10" t="s">
        <v>277</v>
      </c>
      <c r="D12" s="11"/>
      <c r="E12" s="12"/>
    </row>
    <row r="13" customFormat="false" ht="15" hidden="false" customHeight="false" outlineLevel="0" collapsed="false">
      <c r="A13" s="13" t="s">
        <v>278</v>
      </c>
      <c r="B13" s="15" t="s">
        <v>279</v>
      </c>
      <c r="C13" s="15" t="s">
        <v>277</v>
      </c>
      <c r="D13" s="11"/>
      <c r="E13" s="12"/>
    </row>
    <row r="15" customFormat="false" ht="15" hidden="false" customHeight="false" outlineLevel="0" collapsed="false">
      <c r="B15" s="20" t="s">
        <v>280</v>
      </c>
    </row>
    <row r="16" customFormat="false" ht="15" hidden="false" customHeight="false" outlineLevel="0" collapsed="false">
      <c r="B16" s="21" t="s">
        <v>281</v>
      </c>
      <c r="C16" s="22" t="n">
        <f aca="false">COUNTA('01 นำเข้าไฟล์'!A2:A100)+COUNTA('02 แปลงเดือน'!A2:A100)+COUNTA('03 กลไกพยากรณ์'!A2:A100)+COUNTA('04 เทียบแผน &amp; Override'!A2:A100)+COUNTA('05 ส่งออก &amp; PR'!A2:A100)+COUNTA('06 การใช้งานทั่วไป'!A2:A100)</f>
        <v>51</v>
      </c>
    </row>
    <row r="17" customFormat="false" ht="15" hidden="false" customHeight="false" outlineLevel="0" collapsed="false">
      <c r="B17" s="21" t="s">
        <v>282</v>
      </c>
      <c r="C17" s="22" t="n">
        <f aca="false">COUNTIF('01 นำเข้าไฟล์'!G2:G100,"Pass")+COUNTIF('02 แปลงเดือน'!G2:G100,"Pass")+COUNTIF('03 กลไกพยากรณ์'!G2:G100,"Pass")+COUNTIF('04 เทียบแผน &amp; Override'!G2:G100,"Pass")+COUNTIF('05 ส่งออก &amp; PR'!G2:G100,"Pass")+COUNTIF('06 การใช้งานทั่วไป'!G2:G100,"Pass")</f>
        <v>0</v>
      </c>
    </row>
    <row r="18" customFormat="false" ht="15" hidden="false" customHeight="false" outlineLevel="0" collapsed="false">
      <c r="B18" s="21" t="s">
        <v>283</v>
      </c>
      <c r="C18" s="22" t="n">
        <f aca="false">COUNTIF('01 นำเข้าไฟล์'!G2:G100,"Fail")+COUNTIF('02 แปลงเดือน'!G2:G100,"Fail")+COUNTIF('03 กลไกพยากรณ์'!G2:G100,"Fail")+COUNTIF('04 เทียบแผน &amp; Override'!G2:G100,"Fail")+COUNTIF('05 ส่งออก &amp; PR'!G2:G100,"Fail")+COUNTIF('06 การใช้งานทั่วไป'!G2:G100,"Fail")</f>
        <v>0</v>
      </c>
    </row>
    <row r="19" customFormat="false" ht="15" hidden="false" customHeight="false" outlineLevel="0" collapsed="false">
      <c r="B19" s="21" t="s">
        <v>284</v>
      </c>
      <c r="C19" s="22" t="n">
        <f aca="false">COUNTIF('01 นำเข้าไฟล์'!G2:G100,"Blocked")+COUNTIF('02 แปลงเดือน'!G2:G100,"Blocked")+COUNTIF('03 กลไกพยากรณ์'!G2:G100,"Blocked")+COUNTIF('04 เทียบแผน &amp; Override'!G2:G100,"Blocked")+COUNTIF('05 ส่งออก &amp; PR'!G2:G100,"Blocked")+COUNTIF('06 การใช้งานทั่วไป'!G2:G100,"Blocked")</f>
        <v>0</v>
      </c>
    </row>
    <row r="20" customFormat="false" ht="15" hidden="false" customHeight="false" outlineLevel="0" collapsed="false">
      <c r="B20" s="21" t="s">
        <v>285</v>
      </c>
      <c r="C20" s="23" t="n">
        <f aca="false">IFERROR(C17/C16,0)</f>
        <v>0</v>
      </c>
    </row>
  </sheetData>
  <dataValidations count="1">
    <dataValidation allowBlank="true" errorStyle="stop" operator="between" showDropDown="false" showErrorMessage="false" showInputMessage="false" sqref="E2:E13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2026-07-30T15:15:58Z</dcterms:created>
  <dc:creator>openpyxl</dc:creator>
  <dc:description/>
  <dc:language>en-US</dc:language>
  <cp:lastModifiedBy/>
  <dcterms:modified xsi:type="dcterms:W3CDTF">2026-07-30T15:15:58Z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